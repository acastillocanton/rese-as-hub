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83720647-9728-442F-ABFB-2E634463F7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NACIONAL" sheetId="1" r:id="rId1"/>
    <sheet name="INTERNACIONAL" sheetId="2" r:id="rId2"/>
    <sheet name="CyV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27" i="2"/>
  <c r="E32" i="3"/>
  <c r="E15" i="3"/>
  <c r="D15" i="3"/>
  <c r="D32" i="3"/>
</calcChain>
</file>

<file path=xl/sharedStrings.xml><?xml version="1.0" encoding="utf-8"?>
<sst xmlns="http://schemas.openxmlformats.org/spreadsheetml/2006/main" count="156" uniqueCount="92">
  <si>
    <t>RESEÑAS: Inseryal by Marina d'Or - Apartamentos en la playa: 1.567 RESEÑAS ACUMULADAS. VALORACIÓN: 4,9 PUNTOS DE 5</t>
  </si>
  <si>
    <t>DEPARTAMENTO VENTAS NACIONAL</t>
  </si>
  <si>
    <t>MARZO DEL 2026</t>
  </si>
  <si>
    <t xml:space="preserve">PARTE SEMANAL RESEÑAS EN REDES SOCIALES (Google)     FECHA:12 de marzo del 2026       DE: RAQUEL PIQUER </t>
  </si>
  <si>
    <t>NOMBRE COMERCIAL</t>
  </si>
  <si>
    <t>FECHA INCORPORACIÓN</t>
  </si>
  <si>
    <t>ZONA</t>
  </si>
  <si>
    <t>RESEÑAS FEBRERO</t>
  </si>
  <si>
    <r>
      <rPr>
        <b/>
        <sz val="11"/>
        <color rgb="FF000000"/>
        <rFont val="Calibri"/>
        <scheme val="minor"/>
      </rPr>
      <t xml:space="preserve">RESEÑAS </t>
    </r>
    <r>
      <rPr>
        <b/>
        <sz val="11"/>
        <color rgb="FFFF0000"/>
        <rFont val="Calibri"/>
        <scheme val="minor"/>
      </rPr>
      <t>MARZO</t>
    </r>
  </si>
  <si>
    <t>María Jesús Lozano Giner</t>
  </si>
  <si>
    <t>OROPESA</t>
  </si>
  <si>
    <t>Cornel Popescu</t>
  </si>
  <si>
    <t>Joan Francesc Espinach</t>
  </si>
  <si>
    <t>Carmen Lopez Garcia</t>
  </si>
  <si>
    <t>PRINCIPE</t>
  </si>
  <si>
    <t>Alfredo Larrazabal Garcia</t>
  </si>
  <si>
    <t>Marisol Leon Bares</t>
  </si>
  <si>
    <t>Nuria Amezcua Nuño</t>
  </si>
  <si>
    <t>Oscar Rodriguez Lopez Del Campo</t>
  </si>
  <si>
    <t>Diana Sarrazola Roldán</t>
  </si>
  <si>
    <t>Glenda Perino Yanez</t>
  </si>
  <si>
    <t>Irion de Caetano</t>
  </si>
  <si>
    <t>Fernando Taño</t>
  </si>
  <si>
    <t xml:space="preserve">GENERAL </t>
  </si>
  <si>
    <t>Alberto Garcia Lechon</t>
  </si>
  <si>
    <t xml:space="preserve">Baja médica hasta el 16 de marzo </t>
  </si>
  <si>
    <t>Ana Isabel Prior Cerro</t>
  </si>
  <si>
    <t>Francisco Manuel Carchenilla Gómez</t>
  </si>
  <si>
    <t>Korina Unguryanu</t>
  </si>
  <si>
    <t>LEGANÉS</t>
  </si>
  <si>
    <t>Sandra Mira Adrados</t>
  </si>
  <si>
    <t>Jesus Malo Cid</t>
  </si>
  <si>
    <t>Roberto García Cuellar</t>
  </si>
  <si>
    <t>CHAMBERI</t>
  </si>
  <si>
    <t>Manuel Martinez Sanchez</t>
  </si>
  <si>
    <t>Leonel Aparicio Bonachea</t>
  </si>
  <si>
    <t>Cristina García Álvarez</t>
  </si>
  <si>
    <t>Baja médica</t>
  </si>
  <si>
    <t>Victor Clemente Moro</t>
  </si>
  <si>
    <t>RESEÑAS BAJAS COMERCIALES</t>
  </si>
  <si>
    <t>NÚMERO TOTAL DE RESEÑAS COMISIONADAS DEPTO NACIONAL</t>
  </si>
  <si>
    <t>VACACIONES Y BAJAS MEDICAS</t>
  </si>
  <si>
    <t xml:space="preserve">RESEÑAS: Inseryal by Marina d'Or - Apartamentos en la playa: 1.567 RESEÑAS ACUMULADAS. VALORACIÓN: 4,9 PUNTOS DE 5							</t>
  </si>
  <si>
    <t>DEPARTAMENTO VENTAS INTERNACIONAL</t>
  </si>
  <si>
    <t xml:space="preserve">PARTE SEMANAL RESEÑAS EN REDES SOCIALES (Google) FECHA: 12 de marzo del 2026       DE: RAQUEL PIQUER </t>
  </si>
  <si>
    <r>
      <rPr>
        <b/>
        <sz val="11"/>
        <color rgb="FF000000"/>
        <rFont val="Calibri"/>
      </rPr>
      <t xml:space="preserve">RESEÑAS </t>
    </r>
    <r>
      <rPr>
        <b/>
        <sz val="11"/>
        <color rgb="FFFF0000"/>
        <rFont val="Calibri"/>
      </rPr>
      <t>MARZO</t>
    </r>
  </si>
  <si>
    <t>Georgina Lawless</t>
  </si>
  <si>
    <t>Ingles/Nordico</t>
  </si>
  <si>
    <t>Michael Koumas</t>
  </si>
  <si>
    <t>Carlos Llinares Sanz</t>
  </si>
  <si>
    <t>Alicia Addison</t>
  </si>
  <si>
    <t>Amber Spurka</t>
  </si>
  <si>
    <t>Adriana Mihalascu</t>
  </si>
  <si>
    <t>Rumano</t>
  </si>
  <si>
    <t xml:space="preserve">Eduard Mihail </t>
  </si>
  <si>
    <t>Daniela Emilia Pop</t>
  </si>
  <si>
    <t>Monika Kubiak</t>
  </si>
  <si>
    <t>Polaco</t>
  </si>
  <si>
    <t>Aneta Klauza</t>
  </si>
  <si>
    <t>Alicia Seroczynska</t>
  </si>
  <si>
    <t>Pavel Kurlaev</t>
  </si>
  <si>
    <t>Ruso/Bulgaro/Hungaro</t>
  </si>
  <si>
    <t>Fidanka Vassileva Nesheva</t>
  </si>
  <si>
    <t>Katalin Sarovics</t>
  </si>
  <si>
    <t>Viktoria Milenova Doycheva</t>
  </si>
  <si>
    <t>Anton Klymenko</t>
  </si>
  <si>
    <t>Nadezhda Skubieva</t>
  </si>
  <si>
    <t>NUMERO TOTAL DE RESEÑAS COMISIONADAS DEPTO INTERNACIONAL</t>
  </si>
  <si>
    <t>RESEÑAS: Marina d'Or Construcciones Castellón: 482 RESEÑAS ACUMULADAS. VALORACIÓN: 4,9 PUNTOS DE 5</t>
  </si>
  <si>
    <t>DEPARTAMENTO VENTAS CASTELLÓN</t>
  </si>
  <si>
    <t>RESEÑAS MES FEBRERO</t>
  </si>
  <si>
    <r>
      <rPr>
        <b/>
        <sz val="11"/>
        <color rgb="FF000000"/>
        <rFont val="Calibri"/>
      </rPr>
      <t xml:space="preserve">RESEÑAS MES </t>
    </r>
    <r>
      <rPr>
        <b/>
        <sz val="11"/>
        <color rgb="FFFF0000"/>
        <rFont val="Calibri"/>
      </rPr>
      <t>MARZO</t>
    </r>
  </si>
  <si>
    <t>Almudena Martinez</t>
  </si>
  <si>
    <t>CASTELLÓN</t>
  </si>
  <si>
    <t>Tono Sanchez Abadia</t>
  </si>
  <si>
    <t>Laura Jiménez Alcaráz</t>
  </si>
  <si>
    <t>Maria Mérida Espinar</t>
  </si>
  <si>
    <t>Judit Alegre Hernandez</t>
  </si>
  <si>
    <t>Carla Ayora Baguena</t>
  </si>
  <si>
    <t>Ana Alguero Segura</t>
  </si>
  <si>
    <t>NUMERO TOTAL DE RESEÑAS, INCLUIDAS EX-COMERCIALES</t>
  </si>
  <si>
    <t>RESEÑAS: Marina d'Or Construcciones Valencia: 74 RESEÑAS ACUMULADAS. VALORACIÓN: 4,9 PUNTOS DE 5</t>
  </si>
  <si>
    <t>DEPARTAMENTO VENTAS VALENCIA</t>
  </si>
  <si>
    <r>
      <rPr>
        <b/>
        <sz val="11"/>
        <color rgb="FF000000"/>
        <rFont val="Calibri"/>
        <scheme val="minor"/>
      </rPr>
      <t xml:space="preserve">RESEÑAS </t>
    </r>
    <r>
      <rPr>
        <b/>
        <sz val="11"/>
        <color rgb="FFFF0000"/>
        <rFont val="Calibri"/>
        <scheme val="minor"/>
      </rPr>
      <t>FEBRERO</t>
    </r>
  </si>
  <si>
    <t>Jose Rubio Mateos</t>
  </si>
  <si>
    <t>VALENCIA</t>
  </si>
  <si>
    <t>Lucía Gil Muñoz</t>
  </si>
  <si>
    <t>Santiago Justamante Trachiner</t>
  </si>
  <si>
    <t>Susana Perez Fernandez</t>
  </si>
  <si>
    <t>Ángeles Vidagany Nogues</t>
  </si>
  <si>
    <t>Jefferson Javier Piguave Garcia</t>
  </si>
  <si>
    <t>Ursula Salinas Bonet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</si>
</sst>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4823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8" fillId="0" borderId="0" xfId="0" applyFont="1"/>
    <xf numFmtId="0" fontId="1" fillId="0" borderId="1" xfId="0" applyFont="1" applyBorder="1" applyAlignment="1">
      <alignment vertical="center"/>
    </xf>
    <xf numFmtId="0" fontId="1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4" borderId="5" xfId="0" applyFill="1" applyBorder="1"/>
    <xf numFmtId="0" fontId="0" fillId="0" borderId="4" xfId="0" applyBorder="1"/>
    <xf numFmtId="0" fontId="11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topLeftCell="A23" workbookViewId="0">
      <selection activeCell="F17" sqref="F17"/>
    </sheetView>
  </sheetViews>
  <sheetFormatPr defaultRowHeight="15"/>
  <cols>
    <col min="1" max="1" width="33.7109375" bestFit="1" customWidth="1"/>
    <col min="2" max="2" width="17.28515625" customWidth="1"/>
    <col min="3" max="3" width="10.5703125" bestFit="1" customWidth="1"/>
    <col min="4" max="4" width="15.7109375" customWidth="1"/>
    <col min="5" max="5" width="16.140625" customWidth="1"/>
    <col min="6" max="6" width="17.140625" customWidth="1"/>
    <col min="7" max="7" width="24.5703125" customWidth="1"/>
    <col min="8" max="8" width="38.28515625" customWidth="1"/>
  </cols>
  <sheetData>
    <row r="1" spans="1:8" s="3" customFormat="1" ht="18.75">
      <c r="A1" s="43" t="s">
        <v>0</v>
      </c>
      <c r="B1" s="43"/>
      <c r="C1" s="43"/>
      <c r="D1" s="43"/>
      <c r="E1" s="43"/>
      <c r="F1" s="43"/>
      <c r="G1" s="43"/>
      <c r="H1" s="43"/>
    </row>
    <row r="2" spans="1:8" s="3" customFormat="1" ht="18.75">
      <c r="A2" s="7"/>
      <c r="B2" s="7"/>
      <c r="C2" s="7"/>
      <c r="D2" s="7"/>
      <c r="E2" s="7"/>
      <c r="F2" s="7"/>
      <c r="G2" s="7"/>
      <c r="H2" s="7"/>
    </row>
    <row r="3" spans="1:8" s="2" customFormat="1" ht="22.5" customHeight="1">
      <c r="A3" s="44" t="s">
        <v>1</v>
      </c>
      <c r="B3" s="44"/>
      <c r="C3" s="44"/>
      <c r="D3" s="44"/>
      <c r="E3" s="44"/>
      <c r="F3" s="44"/>
      <c r="G3" s="44"/>
      <c r="H3" s="44"/>
    </row>
    <row r="4" spans="1:8" s="2" customFormat="1" ht="22.5" customHeight="1">
      <c r="A4" s="46" t="s">
        <v>2</v>
      </c>
      <c r="B4" s="46"/>
      <c r="C4" s="46"/>
      <c r="D4" s="46"/>
      <c r="E4" s="46"/>
      <c r="F4" s="46"/>
      <c r="G4" s="46"/>
      <c r="H4" s="46"/>
    </row>
    <row r="5" spans="1:8" s="2" customFormat="1" ht="22.5" customHeight="1">
      <c r="A5" s="35"/>
      <c r="B5" s="35"/>
      <c r="C5" s="35"/>
      <c r="D5" s="35"/>
      <c r="E5" s="35"/>
      <c r="F5" s="35"/>
      <c r="G5" s="35"/>
      <c r="H5" s="8"/>
    </row>
    <row r="6" spans="1:8" ht="23.25" customHeight="1">
      <c r="A6" s="47" t="s">
        <v>3</v>
      </c>
      <c r="B6" s="47"/>
      <c r="C6" s="47"/>
      <c r="D6" s="47"/>
      <c r="E6" s="47"/>
      <c r="F6" s="47"/>
      <c r="G6" s="47"/>
      <c r="H6" s="47"/>
    </row>
    <row r="7" spans="1:8" s="4" customFormat="1" ht="91.5" customHeight="1">
      <c r="A7" s="36" t="s">
        <v>4</v>
      </c>
      <c r="B7" s="36" t="s">
        <v>5</v>
      </c>
      <c r="C7" s="36" t="s">
        <v>6</v>
      </c>
      <c r="D7" s="36" t="s">
        <v>7</v>
      </c>
      <c r="E7" s="37" t="s">
        <v>8</v>
      </c>
      <c r="H7" s="8"/>
    </row>
    <row r="8" spans="1:8" ht="20.25" customHeight="1">
      <c r="A8" s="5" t="s">
        <v>9</v>
      </c>
      <c r="B8" s="11">
        <v>43171</v>
      </c>
      <c r="C8" s="12" t="s">
        <v>10</v>
      </c>
      <c r="D8" s="12">
        <v>7</v>
      </c>
      <c r="E8" s="19">
        <v>2</v>
      </c>
    </row>
    <row r="9" spans="1:8" ht="20.25" customHeight="1">
      <c r="A9" s="13" t="s">
        <v>11</v>
      </c>
      <c r="B9" s="11">
        <v>43255</v>
      </c>
      <c r="C9" s="12" t="s">
        <v>10</v>
      </c>
      <c r="D9" s="12">
        <v>10</v>
      </c>
      <c r="E9" s="19">
        <v>4</v>
      </c>
    </row>
    <row r="10" spans="1:8" ht="20.25" customHeight="1">
      <c r="A10" s="13" t="s">
        <v>12</v>
      </c>
      <c r="B10" s="11">
        <v>45461</v>
      </c>
      <c r="C10" s="12" t="s">
        <v>10</v>
      </c>
      <c r="D10" s="12">
        <v>4</v>
      </c>
      <c r="E10" s="19">
        <v>1</v>
      </c>
    </row>
    <row r="11" spans="1:8" ht="20.25" customHeight="1">
      <c r="A11" s="5" t="s">
        <v>13</v>
      </c>
      <c r="B11" s="11">
        <v>37217</v>
      </c>
      <c r="C11" s="12" t="s">
        <v>14</v>
      </c>
      <c r="D11" s="12">
        <v>1</v>
      </c>
      <c r="E11" s="19">
        <v>2</v>
      </c>
    </row>
    <row r="12" spans="1:8" ht="20.25" customHeight="1">
      <c r="A12" s="13" t="s">
        <v>15</v>
      </c>
      <c r="B12" s="11">
        <v>43255</v>
      </c>
      <c r="C12" s="12" t="s">
        <v>14</v>
      </c>
      <c r="D12" s="12">
        <v>1</v>
      </c>
      <c r="E12" s="19">
        <v>2</v>
      </c>
    </row>
    <row r="13" spans="1:8" ht="20.25" customHeight="1">
      <c r="A13" s="13" t="s">
        <v>16</v>
      </c>
      <c r="B13" s="11">
        <v>43183</v>
      </c>
      <c r="C13" s="12" t="s">
        <v>14</v>
      </c>
      <c r="D13" s="12">
        <v>2</v>
      </c>
      <c r="E13" s="19">
        <v>3</v>
      </c>
    </row>
    <row r="14" spans="1:8" ht="20.25" customHeight="1">
      <c r="A14" s="5" t="s">
        <v>17</v>
      </c>
      <c r="B14" s="11">
        <v>39637</v>
      </c>
      <c r="C14" s="12" t="s">
        <v>14</v>
      </c>
      <c r="D14" s="12">
        <v>1</v>
      </c>
      <c r="E14" s="19">
        <v>3</v>
      </c>
    </row>
    <row r="15" spans="1:8" ht="20.25" customHeight="1">
      <c r="A15" s="13" t="s">
        <v>18</v>
      </c>
      <c r="B15" s="11">
        <v>43255</v>
      </c>
      <c r="C15" s="12" t="s">
        <v>14</v>
      </c>
      <c r="D15" s="12">
        <v>2</v>
      </c>
      <c r="E15" s="19">
        <v>3</v>
      </c>
    </row>
    <row r="16" spans="1:8" ht="20.25" customHeight="1">
      <c r="A16" s="5" t="s">
        <v>19</v>
      </c>
      <c r="B16" s="11">
        <v>38505</v>
      </c>
      <c r="C16" s="12" t="s">
        <v>14</v>
      </c>
      <c r="D16" s="12">
        <v>3</v>
      </c>
      <c r="E16" s="19">
        <v>3</v>
      </c>
    </row>
    <row r="17" spans="1:7" ht="20.25" customHeight="1">
      <c r="A17" s="13" t="s">
        <v>20</v>
      </c>
      <c r="B17" s="11">
        <v>44410</v>
      </c>
      <c r="C17" s="12" t="s">
        <v>14</v>
      </c>
      <c r="D17" s="12">
        <v>1</v>
      </c>
      <c r="E17" s="19">
        <v>2</v>
      </c>
    </row>
    <row r="18" spans="1:7" ht="20.25" customHeight="1">
      <c r="A18" s="13" t="s">
        <v>21</v>
      </c>
      <c r="B18" s="11">
        <v>44684</v>
      </c>
      <c r="C18" s="12" t="s">
        <v>14</v>
      </c>
      <c r="D18" s="12">
        <v>1</v>
      </c>
      <c r="E18" s="19">
        <v>2</v>
      </c>
    </row>
    <row r="19" spans="1:7" ht="20.25" customHeight="1">
      <c r="A19" s="5" t="s">
        <v>22</v>
      </c>
      <c r="B19" s="11">
        <v>45362</v>
      </c>
      <c r="C19" s="12" t="s">
        <v>23</v>
      </c>
      <c r="D19" s="12">
        <v>4</v>
      </c>
      <c r="E19" s="19">
        <v>1</v>
      </c>
    </row>
    <row r="20" spans="1:7" ht="20.25" customHeight="1">
      <c r="A20" s="13" t="s">
        <v>24</v>
      </c>
      <c r="B20" s="11">
        <v>45411</v>
      </c>
      <c r="C20" s="12" t="s">
        <v>23</v>
      </c>
      <c r="D20" s="12">
        <v>5</v>
      </c>
      <c r="E20" s="39"/>
      <c r="F20" s="45" t="s">
        <v>25</v>
      </c>
      <c r="G20" s="45"/>
    </row>
    <row r="21" spans="1:7" ht="20.25" customHeight="1">
      <c r="A21" s="13" t="s">
        <v>26</v>
      </c>
      <c r="B21" s="11">
        <v>45712</v>
      </c>
      <c r="C21" s="12" t="s">
        <v>23</v>
      </c>
      <c r="D21" s="29">
        <v>7</v>
      </c>
      <c r="E21" s="15">
        <v>7</v>
      </c>
    </row>
    <row r="22" spans="1:7" ht="20.25" customHeight="1">
      <c r="A22" s="13" t="s">
        <v>27</v>
      </c>
      <c r="B22" s="18">
        <v>45880</v>
      </c>
      <c r="C22" s="12" t="s">
        <v>23</v>
      </c>
      <c r="D22" s="16">
        <v>5</v>
      </c>
      <c r="E22" s="38">
        <v>1</v>
      </c>
    </row>
    <row r="23" spans="1:7" ht="20.25" customHeight="1">
      <c r="A23" s="5" t="s">
        <v>28</v>
      </c>
      <c r="B23" s="11">
        <v>43217</v>
      </c>
      <c r="C23" s="12" t="s">
        <v>29</v>
      </c>
      <c r="D23" s="12">
        <v>1</v>
      </c>
      <c r="E23" s="19">
        <v>4</v>
      </c>
    </row>
    <row r="24" spans="1:7" ht="20.25" customHeight="1">
      <c r="A24" s="13" t="s">
        <v>30</v>
      </c>
      <c r="B24" s="11">
        <v>44676</v>
      </c>
      <c r="C24" s="12" t="s">
        <v>29</v>
      </c>
      <c r="D24" s="12">
        <v>2</v>
      </c>
      <c r="E24" s="19">
        <v>1</v>
      </c>
    </row>
    <row r="25" spans="1:7" ht="20.25" customHeight="1">
      <c r="A25" s="13" t="s">
        <v>31</v>
      </c>
      <c r="B25" s="11">
        <v>45992</v>
      </c>
      <c r="C25" s="12" t="s">
        <v>29</v>
      </c>
      <c r="D25" s="12"/>
      <c r="E25" s="19">
        <v>2</v>
      </c>
    </row>
    <row r="26" spans="1:7" ht="20.25" customHeight="1">
      <c r="A26" s="5" t="s">
        <v>32</v>
      </c>
      <c r="B26" s="11">
        <v>45343</v>
      </c>
      <c r="C26" s="12" t="s">
        <v>33</v>
      </c>
      <c r="D26" s="12">
        <v>3</v>
      </c>
      <c r="E26" s="19">
        <v>4</v>
      </c>
    </row>
    <row r="27" spans="1:7" ht="20.25" customHeight="1">
      <c r="A27" s="13" t="s">
        <v>34</v>
      </c>
      <c r="B27" s="11">
        <v>45586</v>
      </c>
      <c r="C27" s="12" t="s">
        <v>33</v>
      </c>
      <c r="D27" s="12">
        <v>1</v>
      </c>
      <c r="E27" s="19">
        <v>3</v>
      </c>
    </row>
    <row r="28" spans="1:7" ht="20.25" customHeight="1">
      <c r="A28" s="13" t="s">
        <v>35</v>
      </c>
      <c r="B28" s="11">
        <v>45705</v>
      </c>
      <c r="C28" s="12" t="s">
        <v>33</v>
      </c>
      <c r="D28" s="12">
        <v>1</v>
      </c>
      <c r="E28" s="19">
        <v>2</v>
      </c>
    </row>
    <row r="29" spans="1:7" ht="20.25" customHeight="1">
      <c r="A29" s="13" t="s">
        <v>36</v>
      </c>
      <c r="B29" s="11">
        <v>45692</v>
      </c>
      <c r="C29" s="12" t="s">
        <v>33</v>
      </c>
      <c r="D29" s="30"/>
      <c r="E29" s="33"/>
      <c r="F29" s="45" t="s">
        <v>37</v>
      </c>
      <c r="G29" s="45"/>
    </row>
    <row r="30" spans="1:7" ht="20.25" customHeight="1">
      <c r="A30" s="5" t="s">
        <v>38</v>
      </c>
      <c r="B30" s="11">
        <v>46041</v>
      </c>
      <c r="C30" s="12" t="s">
        <v>33</v>
      </c>
      <c r="D30" s="12">
        <v>3</v>
      </c>
      <c r="E30" s="19">
        <v>6</v>
      </c>
    </row>
    <row r="31" spans="1:7" ht="21.75" customHeight="1">
      <c r="A31" s="14" t="s">
        <v>39</v>
      </c>
      <c r="B31" s="24">
        <v>2</v>
      </c>
      <c r="C31" s="23"/>
      <c r="D31" s="23"/>
      <c r="E31" s="23"/>
    </row>
    <row r="32" spans="1:7" ht="23.25" customHeight="1">
      <c r="A32" s="40" t="s">
        <v>40</v>
      </c>
      <c r="B32" s="41"/>
      <c r="C32" s="42"/>
      <c r="D32" s="17">
        <v>65</v>
      </c>
      <c r="E32" s="17">
        <f>SUM(E8:E30)</f>
        <v>58</v>
      </c>
    </row>
    <row r="33" spans="1:8">
      <c r="A33" s="21" t="s">
        <v>41</v>
      </c>
      <c r="B33" s="22"/>
      <c r="D33" s="6"/>
      <c r="E33" s="6"/>
      <c r="F33" s="6"/>
      <c r="G33" s="6"/>
      <c r="H33" s="6"/>
    </row>
  </sheetData>
  <mergeCells count="7">
    <mergeCell ref="A32:C32"/>
    <mergeCell ref="A1:H1"/>
    <mergeCell ref="A3:H3"/>
    <mergeCell ref="F29:G29"/>
    <mergeCell ref="A4:H4"/>
    <mergeCell ref="A6:H6"/>
    <mergeCell ref="F20:G20"/>
  </mergeCells>
  <pageMargins left="0.25" right="0.25" top="0.75" bottom="0.75" header="0.3" footer="0.3"/>
  <pageSetup paperSize="8"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E5E1-489F-4119-B9F1-8F2F3B0EC789}">
  <sheetPr>
    <pageSetUpPr fitToPage="1"/>
  </sheetPr>
  <dimension ref="A1:O32"/>
  <sheetViews>
    <sheetView workbookViewId="0">
      <selection activeCell="A26" sqref="A26"/>
    </sheetView>
  </sheetViews>
  <sheetFormatPr defaultRowHeight="15"/>
  <cols>
    <col min="1" max="1" width="35.85546875" bestFit="1" customWidth="1"/>
    <col min="2" max="2" width="15.85546875" customWidth="1"/>
    <col min="3" max="3" width="21.7109375" bestFit="1" customWidth="1"/>
    <col min="4" max="4" width="17.140625" customWidth="1"/>
    <col min="5" max="5" width="18.7109375" customWidth="1"/>
    <col min="6" max="6" width="16.7109375" customWidth="1"/>
    <col min="7" max="7" width="14.5703125" customWidth="1"/>
    <col min="9" max="9" width="7" customWidth="1"/>
    <col min="10" max="10" width="2.28515625" customWidth="1"/>
    <col min="11" max="11" width="4.42578125" customWidth="1"/>
  </cols>
  <sheetData>
    <row r="1" spans="1:15" ht="15.75">
      <c r="A1" s="43" t="s">
        <v>42</v>
      </c>
      <c r="B1" s="43"/>
      <c r="C1" s="43"/>
      <c r="D1" s="43"/>
      <c r="E1" s="43"/>
      <c r="F1" s="43"/>
      <c r="G1" s="43"/>
    </row>
    <row r="2" spans="1:15" ht="18.75">
      <c r="A2" s="7"/>
      <c r="B2" s="7"/>
      <c r="C2" s="7"/>
      <c r="D2" s="7"/>
      <c r="E2" s="7"/>
      <c r="F2" s="7"/>
      <c r="G2" s="7"/>
      <c r="H2" s="3"/>
      <c r="I2" s="3"/>
    </row>
    <row r="3" spans="1:15" ht="23.25">
      <c r="A3" s="44" t="s">
        <v>43</v>
      </c>
      <c r="B3" s="44"/>
      <c r="C3" s="44"/>
      <c r="D3" s="44"/>
      <c r="E3" s="44"/>
      <c r="F3" s="44"/>
      <c r="G3" s="44"/>
      <c r="H3" s="3"/>
      <c r="I3" s="3"/>
    </row>
    <row r="4" spans="1:15" ht="31.5">
      <c r="A4" s="46" t="s">
        <v>2</v>
      </c>
      <c r="B4" s="46"/>
      <c r="C4" s="46"/>
      <c r="D4" s="46"/>
      <c r="E4" s="46"/>
      <c r="F4" s="46"/>
      <c r="G4" s="46"/>
      <c r="H4" s="46"/>
      <c r="I4" s="2"/>
    </row>
    <row r="5" spans="1:15" ht="13.5" customHeight="1">
      <c r="A5" s="27"/>
      <c r="B5" s="27"/>
      <c r="C5" s="27"/>
      <c r="D5" s="27"/>
      <c r="E5" s="27"/>
      <c r="F5" s="27"/>
      <c r="G5" s="27"/>
      <c r="H5" s="2"/>
      <c r="I5" s="2"/>
    </row>
    <row r="6" spans="1:15" ht="22.5" customHeight="1">
      <c r="A6" s="49" t="s">
        <v>44</v>
      </c>
      <c r="B6" s="50"/>
      <c r="C6" s="50"/>
      <c r="D6" s="50"/>
      <c r="E6" s="50"/>
      <c r="F6" s="50"/>
      <c r="G6" s="51"/>
      <c r="H6" s="2"/>
      <c r="I6" s="2"/>
    </row>
    <row r="7" spans="1:15" ht="18.75">
      <c r="A7" s="49" t="s">
        <v>43</v>
      </c>
      <c r="B7" s="50"/>
      <c r="C7" s="50"/>
      <c r="D7" s="50"/>
      <c r="E7" s="50"/>
      <c r="F7" s="50"/>
      <c r="G7" s="51"/>
      <c r="H7" s="3"/>
      <c r="I7" s="3"/>
    </row>
    <row r="8" spans="1:15" ht="74.25" customHeight="1">
      <c r="A8" s="9" t="s">
        <v>4</v>
      </c>
      <c r="B8" s="9" t="s">
        <v>5</v>
      </c>
      <c r="C8" s="9" t="s">
        <v>6</v>
      </c>
      <c r="D8" s="9" t="s">
        <v>7</v>
      </c>
      <c r="E8" s="28" t="s">
        <v>45</v>
      </c>
      <c r="F8" s="3"/>
      <c r="G8" s="3"/>
      <c r="H8" s="3"/>
    </row>
    <row r="9" spans="1:15" ht="18.75" customHeight="1">
      <c r="A9" s="5" t="s">
        <v>46</v>
      </c>
      <c r="B9" s="11">
        <v>44887</v>
      </c>
      <c r="C9" s="12" t="s">
        <v>47</v>
      </c>
      <c r="D9" s="12">
        <v>1</v>
      </c>
      <c r="E9" s="19">
        <v>1</v>
      </c>
      <c r="F9" s="4"/>
      <c r="G9" s="4"/>
      <c r="H9" s="4"/>
    </row>
    <row r="10" spans="1:15" ht="18.75" customHeight="1">
      <c r="A10" s="13" t="s">
        <v>48</v>
      </c>
      <c r="B10" s="11">
        <v>45334</v>
      </c>
      <c r="C10" s="12" t="s">
        <v>47</v>
      </c>
      <c r="D10" s="12">
        <v>1</v>
      </c>
      <c r="E10" s="19">
        <v>1</v>
      </c>
      <c r="F10" s="4"/>
      <c r="G10" s="4"/>
      <c r="H10" s="4"/>
    </row>
    <row r="11" spans="1:15" ht="18.75" customHeight="1">
      <c r="A11" s="13" t="s">
        <v>49</v>
      </c>
      <c r="B11" s="11">
        <v>45502</v>
      </c>
      <c r="C11" s="12" t="s">
        <v>47</v>
      </c>
      <c r="D11" s="12">
        <v>1</v>
      </c>
      <c r="E11" s="19">
        <v>1</v>
      </c>
      <c r="F11" s="4"/>
      <c r="G11" s="4"/>
      <c r="H11" s="4"/>
    </row>
    <row r="12" spans="1:15" ht="18.75" customHeight="1">
      <c r="A12" s="13" t="s">
        <v>50</v>
      </c>
      <c r="B12" s="11">
        <v>45390</v>
      </c>
      <c r="C12" s="12" t="s">
        <v>47</v>
      </c>
      <c r="D12" s="12">
        <v>1</v>
      </c>
      <c r="E12" s="19">
        <v>2</v>
      </c>
      <c r="F12" s="4"/>
      <c r="G12" s="4"/>
      <c r="H12" s="4"/>
    </row>
    <row r="13" spans="1:15" ht="18.75" customHeight="1">
      <c r="A13" s="13" t="s">
        <v>51</v>
      </c>
      <c r="B13" s="11">
        <v>45810</v>
      </c>
      <c r="C13" s="12" t="s">
        <v>47</v>
      </c>
      <c r="D13" s="12">
        <v>4</v>
      </c>
      <c r="E13" s="19">
        <v>2</v>
      </c>
      <c r="F13" s="4"/>
      <c r="G13" s="4"/>
      <c r="H13" s="4"/>
    </row>
    <row r="14" spans="1:15" ht="18.75" customHeight="1">
      <c r="A14" s="5" t="s">
        <v>52</v>
      </c>
      <c r="B14" s="11">
        <v>45070</v>
      </c>
      <c r="C14" s="12" t="s">
        <v>53</v>
      </c>
      <c r="D14" s="12">
        <v>1</v>
      </c>
      <c r="E14" s="19">
        <v>2</v>
      </c>
      <c r="F14" s="4"/>
      <c r="G14" s="4"/>
      <c r="H14" s="4"/>
    </row>
    <row r="15" spans="1:15" ht="18.75" customHeight="1">
      <c r="A15" s="13" t="s">
        <v>54</v>
      </c>
      <c r="B15" s="11">
        <v>45600</v>
      </c>
      <c r="C15" s="12" t="s">
        <v>53</v>
      </c>
      <c r="D15" s="12">
        <v>3</v>
      </c>
      <c r="E15" s="19">
        <v>1</v>
      </c>
      <c r="F15" s="4"/>
      <c r="G15" s="4"/>
      <c r="H15" s="4"/>
      <c r="L15" s="7"/>
      <c r="M15" s="7"/>
      <c r="N15" s="7"/>
      <c r="O15" s="7"/>
    </row>
    <row r="16" spans="1:15" ht="18.75" customHeight="1">
      <c r="A16" s="13" t="s">
        <v>55</v>
      </c>
      <c r="B16" s="11">
        <v>46041</v>
      </c>
      <c r="C16" s="12" t="s">
        <v>53</v>
      </c>
      <c r="D16" s="12"/>
      <c r="E16" s="19">
        <v>1</v>
      </c>
      <c r="F16" s="4"/>
      <c r="G16" s="4"/>
      <c r="H16" s="4"/>
      <c r="L16" s="7"/>
      <c r="M16" s="7"/>
      <c r="N16" s="7"/>
      <c r="O16" s="7"/>
    </row>
    <row r="17" spans="1:8" ht="18.75" customHeight="1">
      <c r="A17" s="5" t="s">
        <v>56</v>
      </c>
      <c r="B17" s="11">
        <v>45257</v>
      </c>
      <c r="C17" s="12" t="s">
        <v>57</v>
      </c>
      <c r="D17" s="12"/>
      <c r="E17" s="19">
        <v>1</v>
      </c>
      <c r="F17" s="4"/>
      <c r="G17" s="4"/>
      <c r="H17" s="4"/>
    </row>
    <row r="18" spans="1:8" ht="18.75" customHeight="1">
      <c r="A18" s="13" t="s">
        <v>58</v>
      </c>
      <c r="B18" s="11">
        <v>45392</v>
      </c>
      <c r="C18" s="12" t="s">
        <v>57</v>
      </c>
      <c r="D18" s="12"/>
      <c r="E18" s="19">
        <v>1</v>
      </c>
      <c r="F18" s="4"/>
      <c r="G18" s="4"/>
      <c r="H18" s="4"/>
    </row>
    <row r="19" spans="1:8" ht="18.75" customHeight="1">
      <c r="A19" s="13" t="s">
        <v>59</v>
      </c>
      <c r="B19" s="11">
        <v>45427</v>
      </c>
      <c r="C19" s="12" t="s">
        <v>57</v>
      </c>
      <c r="D19" s="12"/>
      <c r="E19" s="19">
        <v>1</v>
      </c>
      <c r="F19" s="4"/>
      <c r="G19" s="4"/>
      <c r="H19" s="4"/>
    </row>
    <row r="20" spans="1:8" ht="18.75" customHeight="1">
      <c r="A20" s="5" t="s">
        <v>60</v>
      </c>
      <c r="B20" s="11">
        <v>45390</v>
      </c>
      <c r="C20" s="12" t="s">
        <v>61</v>
      </c>
      <c r="D20" s="1">
        <v>1</v>
      </c>
      <c r="E20" s="19">
        <v>1</v>
      </c>
      <c r="F20" s="4"/>
      <c r="G20" s="4"/>
      <c r="H20" s="4"/>
    </row>
    <row r="21" spans="1:8" ht="18.75" customHeight="1">
      <c r="A21" s="13" t="s">
        <v>62</v>
      </c>
      <c r="B21" s="11">
        <v>45778</v>
      </c>
      <c r="C21" s="12" t="s">
        <v>61</v>
      </c>
      <c r="D21" s="12">
        <v>1</v>
      </c>
      <c r="E21" s="19">
        <v>2</v>
      </c>
      <c r="F21" s="4"/>
      <c r="G21" s="4"/>
      <c r="H21" s="4"/>
    </row>
    <row r="22" spans="1:8" ht="18.75" customHeight="1">
      <c r="A22" s="13" t="s">
        <v>63</v>
      </c>
      <c r="B22" s="11">
        <v>45901</v>
      </c>
      <c r="C22" s="12" t="s">
        <v>61</v>
      </c>
      <c r="D22" s="12">
        <v>1</v>
      </c>
      <c r="E22" s="19">
        <v>1</v>
      </c>
      <c r="F22" s="4"/>
      <c r="G22" s="4"/>
      <c r="H22" s="4"/>
    </row>
    <row r="23" spans="1:8" ht="18.75" customHeight="1">
      <c r="A23" s="13" t="s">
        <v>64</v>
      </c>
      <c r="B23" s="11">
        <v>46054</v>
      </c>
      <c r="C23" s="12" t="s">
        <v>61</v>
      </c>
      <c r="D23" s="12">
        <v>1</v>
      </c>
      <c r="E23" s="19">
        <v>2</v>
      </c>
      <c r="F23" s="4"/>
      <c r="G23" s="4"/>
      <c r="H23" s="4"/>
    </row>
    <row r="24" spans="1:8" ht="18.75" customHeight="1">
      <c r="A24" s="13" t="s">
        <v>65</v>
      </c>
      <c r="B24" s="11">
        <v>45933</v>
      </c>
      <c r="C24" s="12" t="s">
        <v>61</v>
      </c>
      <c r="D24" s="12">
        <v>2</v>
      </c>
      <c r="E24" s="19">
        <v>7</v>
      </c>
      <c r="F24" s="4"/>
      <c r="G24" s="4"/>
      <c r="H24" s="4"/>
    </row>
    <row r="25" spans="1:8" ht="18.75" customHeight="1">
      <c r="A25" s="13" t="s">
        <v>66</v>
      </c>
      <c r="B25" s="11">
        <v>45992</v>
      </c>
      <c r="C25" s="12" t="s">
        <v>61</v>
      </c>
      <c r="D25" s="29">
        <v>4</v>
      </c>
      <c r="E25" s="19">
        <v>1</v>
      </c>
      <c r="F25" s="4"/>
      <c r="G25" s="4"/>
      <c r="H25" s="4"/>
    </row>
    <row r="26" spans="1:8" ht="19.5" customHeight="1">
      <c r="A26" s="20" t="s">
        <v>39</v>
      </c>
      <c r="B26" s="16">
        <v>7</v>
      </c>
      <c r="C26" s="23"/>
      <c r="D26" s="23"/>
      <c r="E26" s="23"/>
      <c r="F26" s="4"/>
      <c r="G26" s="4"/>
      <c r="H26" s="4"/>
    </row>
    <row r="27" spans="1:8" ht="33" customHeight="1">
      <c r="A27" s="48" t="s">
        <v>67</v>
      </c>
      <c r="B27" s="48"/>
      <c r="C27" s="25"/>
      <c r="D27" s="26">
        <v>27</v>
      </c>
      <c r="E27" s="26">
        <f>SUM(E9:E25)</f>
        <v>28</v>
      </c>
      <c r="F27" s="4"/>
      <c r="G27" s="4"/>
      <c r="H27" s="4"/>
    </row>
    <row r="28" spans="1:8" ht="26.25" customHeight="1">
      <c r="A28" s="21" t="s">
        <v>41</v>
      </c>
      <c r="B28" s="22"/>
      <c r="D28" s="6"/>
      <c r="E28" s="6"/>
      <c r="F28" s="4"/>
      <c r="G28" s="4"/>
      <c r="H28" s="4"/>
    </row>
    <row r="29" spans="1:8" ht="15.75">
      <c r="F29" s="4"/>
      <c r="G29" s="4"/>
      <c r="H29" s="4"/>
    </row>
    <row r="30" spans="1:8" ht="15.75">
      <c r="F30" s="4"/>
      <c r="G30" s="4"/>
      <c r="H30" s="4"/>
    </row>
    <row r="31" spans="1:8" ht="15.75">
      <c r="F31" s="4"/>
      <c r="G31" s="4"/>
      <c r="H31" s="4"/>
    </row>
    <row r="32" spans="1:8" ht="15.75">
      <c r="F32" s="4"/>
      <c r="G32" s="4"/>
      <c r="H32" s="4"/>
    </row>
  </sheetData>
  <mergeCells count="6">
    <mergeCell ref="A1:G1"/>
    <mergeCell ref="A27:B27"/>
    <mergeCell ref="A6:G6"/>
    <mergeCell ref="A7:G7"/>
    <mergeCell ref="A3:G3"/>
    <mergeCell ref="A4:H4"/>
  </mergeCells>
  <pageMargins left="0.25" right="0.25" top="0.75" bottom="0.75" header="0.3" footer="0.3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BF24-A3EC-4DE7-9787-6EA07B866471}">
  <sheetPr>
    <pageSetUpPr fitToPage="1"/>
  </sheetPr>
  <dimension ref="A1:H34"/>
  <sheetViews>
    <sheetView topLeftCell="A13" workbookViewId="0">
      <selection activeCell="E32" sqref="E32"/>
    </sheetView>
  </sheetViews>
  <sheetFormatPr defaultRowHeight="15"/>
  <cols>
    <col min="1" max="1" width="30.7109375" bestFit="1" customWidth="1"/>
    <col min="2" max="2" width="16.5703125" customWidth="1"/>
    <col min="3" max="3" width="11.140625" bestFit="1" customWidth="1"/>
    <col min="4" max="4" width="13.5703125" customWidth="1"/>
    <col min="5" max="5" width="15.7109375" customWidth="1"/>
    <col min="6" max="6" width="14.7109375" customWidth="1"/>
    <col min="7" max="7" width="16.28515625" customWidth="1"/>
    <col min="8" max="8" width="26" customWidth="1"/>
  </cols>
  <sheetData>
    <row r="1" spans="1:8" ht="15.75">
      <c r="A1" s="43" t="s">
        <v>68</v>
      </c>
      <c r="B1" s="43"/>
      <c r="C1" s="43"/>
      <c r="D1" s="43"/>
      <c r="E1" s="43"/>
      <c r="F1" s="43"/>
      <c r="G1" s="43"/>
      <c r="H1" s="43"/>
    </row>
    <row r="2" spans="1:8" ht="15.75">
      <c r="A2" s="7"/>
      <c r="B2" s="7"/>
      <c r="C2" s="7"/>
      <c r="D2" s="7"/>
      <c r="E2" s="7"/>
      <c r="F2" s="7"/>
      <c r="G2" s="7"/>
      <c r="H2" s="7"/>
    </row>
    <row r="3" spans="1:8" ht="23.25">
      <c r="A3" s="44" t="s">
        <v>69</v>
      </c>
      <c r="B3" s="44"/>
      <c r="C3" s="44"/>
      <c r="D3" s="44"/>
      <c r="E3" s="44"/>
      <c r="F3" s="44"/>
      <c r="G3" s="44"/>
      <c r="H3" s="44"/>
    </row>
    <row r="4" spans="1:8" ht="23.25" customHeight="1">
      <c r="A4" s="46" t="s">
        <v>2</v>
      </c>
      <c r="B4" s="46"/>
      <c r="C4" s="46"/>
      <c r="D4" s="46"/>
      <c r="E4" s="46"/>
      <c r="F4" s="46"/>
      <c r="G4" s="46"/>
      <c r="H4" s="46"/>
    </row>
    <row r="5" spans="1:8" ht="14.25" customHeight="1">
      <c r="A5" s="27"/>
      <c r="B5" s="27"/>
      <c r="C5" s="27"/>
      <c r="D5" s="27"/>
      <c r="E5" s="27"/>
      <c r="F5" s="27"/>
      <c r="G5" s="27"/>
      <c r="H5" s="8"/>
    </row>
    <row r="6" spans="1:8">
      <c r="A6" s="47" t="s">
        <v>44</v>
      </c>
      <c r="B6" s="47"/>
      <c r="C6" s="47"/>
      <c r="D6" s="47"/>
      <c r="E6" s="47"/>
      <c r="F6" s="47"/>
      <c r="G6" s="47"/>
      <c r="H6" s="47"/>
    </row>
    <row r="7" spans="1:8" ht="63" customHeight="1">
      <c r="A7" s="9" t="s">
        <v>4</v>
      </c>
      <c r="B7" s="9" t="s">
        <v>5</v>
      </c>
      <c r="C7" s="9" t="s">
        <v>6</v>
      </c>
      <c r="D7" s="9" t="s">
        <v>70</v>
      </c>
      <c r="E7" s="28" t="s">
        <v>71</v>
      </c>
    </row>
    <row r="8" spans="1:8" ht="21.75" customHeight="1">
      <c r="A8" s="5" t="s">
        <v>72</v>
      </c>
      <c r="B8" s="11">
        <v>45412</v>
      </c>
      <c r="C8" s="12" t="s">
        <v>73</v>
      </c>
      <c r="D8" s="12">
        <v>2</v>
      </c>
      <c r="E8" s="15">
        <v>2</v>
      </c>
    </row>
    <row r="9" spans="1:8" ht="21.75" customHeight="1">
      <c r="A9" s="13" t="s">
        <v>74</v>
      </c>
      <c r="B9" s="11">
        <v>45427</v>
      </c>
      <c r="C9" s="12" t="s">
        <v>73</v>
      </c>
      <c r="D9" s="12"/>
      <c r="E9" s="15">
        <v>1</v>
      </c>
    </row>
    <row r="10" spans="1:8" ht="21.75" customHeight="1">
      <c r="A10" s="13" t="s">
        <v>75</v>
      </c>
      <c r="B10" s="11">
        <v>45461</v>
      </c>
      <c r="C10" s="12" t="s">
        <v>73</v>
      </c>
      <c r="D10" s="12">
        <v>4</v>
      </c>
      <c r="E10" s="15">
        <v>5</v>
      </c>
    </row>
    <row r="11" spans="1:8" ht="21.75" customHeight="1">
      <c r="A11" s="13" t="s">
        <v>76</v>
      </c>
      <c r="B11" s="11">
        <v>45550</v>
      </c>
      <c r="C11" s="12" t="s">
        <v>73</v>
      </c>
      <c r="D11" s="12">
        <v>5</v>
      </c>
      <c r="E11" s="15">
        <v>1</v>
      </c>
    </row>
    <row r="12" spans="1:8" ht="21.75" customHeight="1">
      <c r="A12" s="13" t="s">
        <v>77</v>
      </c>
      <c r="B12" s="11">
        <v>45547</v>
      </c>
      <c r="C12" s="12" t="s">
        <v>73</v>
      </c>
      <c r="D12" s="12">
        <v>2</v>
      </c>
      <c r="E12" s="15">
        <v>2</v>
      </c>
    </row>
    <row r="13" spans="1:8" ht="21.75" customHeight="1">
      <c r="A13" s="13" t="s">
        <v>78</v>
      </c>
      <c r="B13" s="11">
        <v>45572</v>
      </c>
      <c r="C13" s="12" t="s">
        <v>73</v>
      </c>
      <c r="D13" s="12">
        <v>1</v>
      </c>
      <c r="E13" s="15">
        <v>1</v>
      </c>
    </row>
    <row r="14" spans="1:8" ht="21.75" customHeight="1">
      <c r="A14" s="13" t="s">
        <v>79</v>
      </c>
      <c r="B14" s="11">
        <v>45930</v>
      </c>
      <c r="C14" s="12" t="s">
        <v>73</v>
      </c>
      <c r="D14" s="12">
        <v>1</v>
      </c>
      <c r="E14" s="15">
        <v>1</v>
      </c>
    </row>
    <row r="15" spans="1:8" ht="30" customHeight="1">
      <c r="A15" s="31" t="s">
        <v>80</v>
      </c>
      <c r="B15" s="12"/>
      <c r="C15" s="12"/>
      <c r="D15" s="34">
        <f>SUM(D8:D14)</f>
        <v>15</v>
      </c>
      <c r="E15" s="32">
        <f>SUM(E8:E14)</f>
        <v>13</v>
      </c>
    </row>
    <row r="18" spans="1:8" ht="15.75">
      <c r="A18" s="43" t="s">
        <v>81</v>
      </c>
      <c r="B18" s="43"/>
      <c r="C18" s="43"/>
      <c r="D18" s="43"/>
      <c r="E18" s="43"/>
      <c r="F18" s="43"/>
      <c r="G18" s="43"/>
      <c r="H18" s="43"/>
    </row>
    <row r="19" spans="1:8" ht="15.75">
      <c r="A19" s="7"/>
      <c r="B19" s="7"/>
      <c r="C19" s="7"/>
      <c r="D19" s="7"/>
      <c r="E19" s="7"/>
      <c r="F19" s="7"/>
      <c r="G19" s="7"/>
      <c r="H19" s="7"/>
    </row>
    <row r="20" spans="1:8" ht="23.25">
      <c r="A20" s="44" t="s">
        <v>82</v>
      </c>
      <c r="B20" s="44"/>
      <c r="C20" s="44"/>
      <c r="D20" s="44"/>
      <c r="E20" s="44"/>
      <c r="F20" s="44"/>
      <c r="G20" s="44"/>
      <c r="H20" s="44"/>
    </row>
    <row r="21" spans="1:8" ht="21">
      <c r="A21" s="46" t="s">
        <v>2</v>
      </c>
      <c r="B21" s="46"/>
      <c r="C21" s="46"/>
      <c r="D21" s="46"/>
      <c r="E21" s="46"/>
      <c r="F21" s="46"/>
      <c r="G21" s="46"/>
      <c r="H21" s="46"/>
    </row>
    <row r="22" spans="1:8" ht="23.25">
      <c r="A22" s="27"/>
      <c r="B22" s="27"/>
      <c r="C22" s="27"/>
      <c r="D22" s="27"/>
      <c r="E22" s="27"/>
      <c r="F22" s="27"/>
      <c r="G22" s="27"/>
      <c r="H22" s="8"/>
    </row>
    <row r="23" spans="1:8">
      <c r="A23" s="47" t="s">
        <v>44</v>
      </c>
      <c r="B23" s="47"/>
      <c r="C23" s="47"/>
      <c r="D23" s="47"/>
      <c r="E23" s="47"/>
      <c r="F23" s="47"/>
      <c r="G23" s="47"/>
      <c r="H23" s="47"/>
    </row>
    <row r="24" spans="1:8" ht="30.75">
      <c r="A24" s="9" t="s">
        <v>4</v>
      </c>
      <c r="B24" s="9" t="s">
        <v>5</v>
      </c>
      <c r="C24" s="9" t="s">
        <v>6</v>
      </c>
      <c r="D24" s="10" t="s">
        <v>83</v>
      </c>
      <c r="E24" s="28" t="s">
        <v>71</v>
      </c>
    </row>
    <row r="25" spans="1:8">
      <c r="A25" s="5" t="s">
        <v>84</v>
      </c>
      <c r="B25" s="11">
        <v>45817</v>
      </c>
      <c r="C25" s="12" t="s">
        <v>85</v>
      </c>
      <c r="D25" s="12">
        <v>2</v>
      </c>
      <c r="E25" s="15">
        <v>1</v>
      </c>
    </row>
    <row r="26" spans="1:8">
      <c r="A26" s="13" t="s">
        <v>86</v>
      </c>
      <c r="B26" s="11">
        <v>45817</v>
      </c>
      <c r="C26" s="12" t="s">
        <v>85</v>
      </c>
      <c r="D26" s="12"/>
      <c r="E26" s="15">
        <v>1</v>
      </c>
    </row>
    <row r="27" spans="1:8">
      <c r="A27" s="13" t="s">
        <v>87</v>
      </c>
      <c r="B27" s="11">
        <v>45887</v>
      </c>
      <c r="C27" s="12" t="s">
        <v>85</v>
      </c>
      <c r="D27" s="12">
        <v>4</v>
      </c>
      <c r="E27" s="15">
        <v>7</v>
      </c>
    </row>
    <row r="28" spans="1:8">
      <c r="A28" s="13" t="s">
        <v>88</v>
      </c>
      <c r="B28" s="11">
        <v>45894</v>
      </c>
      <c r="C28" s="12" t="s">
        <v>85</v>
      </c>
      <c r="D28" s="12">
        <v>1</v>
      </c>
      <c r="E28" s="15">
        <v>1</v>
      </c>
    </row>
    <row r="29" spans="1:8">
      <c r="A29" s="13" t="s">
        <v>89</v>
      </c>
      <c r="B29" s="11">
        <v>45887</v>
      </c>
      <c r="C29" s="12" t="s">
        <v>85</v>
      </c>
      <c r="D29" s="12">
        <v>5</v>
      </c>
      <c r="E29" s="15">
        <v>4</v>
      </c>
    </row>
    <row r="30" spans="1:8">
      <c r="A30" s="13" t="s">
        <v>90</v>
      </c>
      <c r="B30" s="11">
        <v>45894</v>
      </c>
      <c r="C30" s="12" t="s">
        <v>85</v>
      </c>
      <c r="D30" s="12">
        <v>8</v>
      </c>
      <c r="E30" s="15">
        <v>9</v>
      </c>
    </row>
    <row r="31" spans="1:8">
      <c r="A31" s="13" t="s">
        <v>91</v>
      </c>
      <c r="B31" s="11">
        <v>45943</v>
      </c>
      <c r="C31" s="12" t="s">
        <v>85</v>
      </c>
      <c r="D31" s="12">
        <v>4</v>
      </c>
      <c r="E31" s="15">
        <v>3</v>
      </c>
    </row>
    <row r="32" spans="1:8" ht="27">
      <c r="A32" s="31" t="s">
        <v>80</v>
      </c>
      <c r="B32" s="12"/>
      <c r="C32" s="12"/>
      <c r="D32" s="34">
        <f>SUM(D25:D31)</f>
        <v>24</v>
      </c>
      <c r="E32" s="32">
        <f>SUM(E25:E31)</f>
        <v>26</v>
      </c>
    </row>
    <row r="34" spans="1:2">
      <c r="A34" s="21" t="s">
        <v>41</v>
      </c>
      <c r="B34" s="22"/>
    </row>
  </sheetData>
  <mergeCells count="8">
    <mergeCell ref="A20:H20"/>
    <mergeCell ref="A21:H21"/>
    <mergeCell ref="A23:H23"/>
    <mergeCell ref="A18:H18"/>
    <mergeCell ref="A1:H1"/>
    <mergeCell ref="A3:H3"/>
    <mergeCell ref="A6:H6"/>
    <mergeCell ref="A4:H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2026-03-03T16:09:59Z</dcterms:created>
  <dcterms:modified xsi:type="dcterms:W3CDTF">2026-05-20T11:25:25Z</dcterms:modified>
  <cp:category/>
  <cp:contentStatus/>
</cp:coreProperties>
</file>